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ffic\Desktop\"/>
    </mc:Choice>
  </mc:AlternateContent>
  <bookViews>
    <workbookView xWindow="0" yWindow="0" windowWidth="16815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1" l="1"/>
  <c r="H36" i="1"/>
  <c r="G35" i="1"/>
  <c r="G34" i="1"/>
  <c r="G33" i="1"/>
  <c r="H32" i="1"/>
  <c r="G31" i="1"/>
  <c r="H26" i="1"/>
  <c r="G25" i="1"/>
  <c r="G23" i="1"/>
  <c r="M50" i="1"/>
  <c r="M49" i="1"/>
  <c r="M48" i="1"/>
  <c r="M44" i="1"/>
  <c r="M43" i="1"/>
  <c r="M42" i="1"/>
  <c r="M39" i="1"/>
  <c r="M38" i="1"/>
  <c r="M35" i="1"/>
  <c r="O30" i="1"/>
  <c r="O31" i="1" s="1"/>
  <c r="O29" i="1"/>
  <c r="O28" i="1"/>
  <c r="O27" i="1"/>
  <c r="N31" i="1"/>
  <c r="M31" i="1"/>
  <c r="N30" i="1"/>
  <c r="H16" i="1"/>
  <c r="G15" i="1"/>
  <c r="G16" i="1"/>
  <c r="M12" i="1"/>
  <c r="M11" i="1"/>
  <c r="M10" i="1"/>
  <c r="M9" i="1"/>
  <c r="H13" i="1"/>
  <c r="G12" i="1"/>
  <c r="H11" i="1"/>
  <c r="G10" i="1"/>
  <c r="H9" i="1"/>
  <c r="G8" i="1"/>
  <c r="G7" i="1"/>
  <c r="M6" i="1"/>
</calcChain>
</file>

<file path=xl/sharedStrings.xml><?xml version="1.0" encoding="utf-8"?>
<sst xmlns="http://schemas.openxmlformats.org/spreadsheetml/2006/main" count="83" uniqueCount="73">
  <si>
    <t>EXM PRACTICE 3</t>
  </si>
  <si>
    <t>POLESTAR</t>
  </si>
  <si>
    <t>a</t>
  </si>
  <si>
    <t>CSOPL FOR THE YEAR ENDED 30 SEP</t>
  </si>
  <si>
    <t>Revenue</t>
  </si>
  <si>
    <t>Cos</t>
  </si>
  <si>
    <t>Operating exp</t>
  </si>
  <si>
    <t>G/P(L)</t>
  </si>
  <si>
    <t>Income tax (exp)/relief</t>
  </si>
  <si>
    <t>Profit/(loss) before tax</t>
  </si>
  <si>
    <t xml:space="preserve">Profit/(loss )for the yr </t>
  </si>
  <si>
    <t>$000</t>
  </si>
  <si>
    <t>wn1</t>
  </si>
  <si>
    <t>fv dprn</t>
  </si>
  <si>
    <t>sopl,cos</t>
  </si>
  <si>
    <t>attributable to</t>
  </si>
  <si>
    <t>PARENT</t>
  </si>
  <si>
    <t>NCI</t>
  </si>
  <si>
    <t>wn2</t>
  </si>
  <si>
    <t>Subsidiary loss</t>
  </si>
  <si>
    <t xml:space="preserve">les </t>
  </si>
  <si>
    <t>adjusted profit</t>
  </si>
  <si>
    <t>NCI share</t>
  </si>
  <si>
    <t>b</t>
  </si>
  <si>
    <t>CSOFP FOR THE YEAR ENDED 30 SEP</t>
  </si>
  <si>
    <t>ASSETS</t>
  </si>
  <si>
    <t>NCA</t>
  </si>
  <si>
    <t>PPE</t>
  </si>
  <si>
    <t>CA</t>
  </si>
  <si>
    <t>TOTAL ASSETS</t>
  </si>
  <si>
    <t>GOODWILL</t>
  </si>
  <si>
    <t>EQUITY&amp;LIABILITIES</t>
  </si>
  <si>
    <t>EQUITY</t>
  </si>
  <si>
    <t>SHARE CAPITAL</t>
  </si>
  <si>
    <t>RETAINED EARNINGS</t>
  </si>
  <si>
    <t>TOTAL EQUITY</t>
  </si>
  <si>
    <t>CL</t>
  </si>
  <si>
    <t>TOTAL LIABILITY</t>
  </si>
  <si>
    <t>TOTAL EQUITY &amp; LIABILITY</t>
  </si>
  <si>
    <t>WN1</t>
  </si>
  <si>
    <t>established group structure</t>
  </si>
  <si>
    <t>polestar</t>
  </si>
  <si>
    <t>southstar</t>
  </si>
  <si>
    <t>WN2</t>
  </si>
  <si>
    <t>NET ASSETS</t>
  </si>
  <si>
    <t>Acq date</t>
  </si>
  <si>
    <t>Rep date</t>
  </si>
  <si>
    <t>Post acqdate</t>
  </si>
  <si>
    <t>share capital</t>
  </si>
  <si>
    <t>NET ASSETS OF SUSIDIARY</t>
  </si>
  <si>
    <t>retained earnings</t>
  </si>
  <si>
    <t>fv</t>
  </si>
  <si>
    <t>dprn</t>
  </si>
  <si>
    <t>WN3</t>
  </si>
  <si>
    <t>CONSIDERATION PAID</t>
  </si>
  <si>
    <t>CASH PAID(SHARE)</t>
  </si>
  <si>
    <t>CONTIGENT CONSIDERATION</t>
  </si>
  <si>
    <t>add</t>
  </si>
  <si>
    <t>NCI at acq</t>
  </si>
  <si>
    <t>less</t>
  </si>
  <si>
    <t>Net assets at acq</t>
  </si>
  <si>
    <t>Negative Goodwill</t>
  </si>
  <si>
    <t>BARGAIN PURCHASE</t>
  </si>
  <si>
    <t>WN4</t>
  </si>
  <si>
    <t xml:space="preserve">add </t>
  </si>
  <si>
    <t>NCI share of post acq</t>
  </si>
  <si>
    <t>NCI at rep date</t>
  </si>
  <si>
    <t>WN5</t>
  </si>
  <si>
    <t>GROUP RETAINED EARNINGS</t>
  </si>
  <si>
    <t xml:space="preserve">parents holding </t>
  </si>
  <si>
    <t>parents share of post acq</t>
  </si>
  <si>
    <t>pup</t>
  </si>
  <si>
    <t>Group retained earnings at rep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</si>
</sst>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9" fontId="0" fillId="0" borderId="0" xfId="0" applyNumberFormat="1" applyAlignment="1">
      <alignment horizontal="center"/>
    </xf>
    <xf numFmtId="16" fontId="0" fillId="0" borderId="0" xfId="0" applyNumberFormat="1"/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50"/>
  <sheetViews>
    <sheetView tabSelected="1" topLeftCell="B1" workbookViewId="0">
      <selection activeCell="F38" sqref="F38"/>
    </sheetView>
  </sheetViews>
  <sheetFormatPr defaultRowHeight="15" x14ac:dyDescent="0.25"/>
  <cols>
    <col min="6" max="6" width="21.28515625" customWidth="1"/>
    <col min="12" max="12" width="17" customWidth="1"/>
  </cols>
  <sheetData>
    <row r="1" spans="3:14" x14ac:dyDescent="0.25">
      <c r="E1" s="1" t="s">
        <v>0</v>
      </c>
      <c r="F1" s="1"/>
      <c r="G1" s="1"/>
      <c r="H1" s="1"/>
      <c r="I1" s="1"/>
      <c r="J1" s="1"/>
    </row>
    <row r="4" spans="3:14" x14ac:dyDescent="0.25">
      <c r="C4">
        <v>32</v>
      </c>
      <c r="D4" t="s">
        <v>1</v>
      </c>
    </row>
    <row r="5" spans="3:14" x14ac:dyDescent="0.25">
      <c r="E5" t="s">
        <v>2</v>
      </c>
      <c r="F5" s="2" t="s">
        <v>3</v>
      </c>
      <c r="G5" s="2"/>
    </row>
    <row r="6" spans="3:14" x14ac:dyDescent="0.25">
      <c r="G6" t="s">
        <v>11</v>
      </c>
      <c r="H6" t="s">
        <v>11</v>
      </c>
      <c r="K6" t="s">
        <v>12</v>
      </c>
      <c r="L6" t="s">
        <v>13</v>
      </c>
      <c r="M6">
        <f>(2000/10)*6/12</f>
        <v>100</v>
      </c>
      <c r="N6" t="s">
        <v>14</v>
      </c>
    </row>
    <row r="7" spans="3:14" x14ac:dyDescent="0.25">
      <c r="F7" t="s">
        <v>4</v>
      </c>
      <c r="G7">
        <f>110000+(66000*6/12)-9000</f>
        <v>134000</v>
      </c>
    </row>
    <row r="8" spans="3:14" x14ac:dyDescent="0.25">
      <c r="F8" t="s">
        <v>5</v>
      </c>
      <c r="G8">
        <f>88000+(67200*6/12)+M6+4000+1400+1500-9000</f>
        <v>119600</v>
      </c>
      <c r="K8" t="s">
        <v>18</v>
      </c>
      <c r="L8" t="s">
        <v>17</v>
      </c>
    </row>
    <row r="9" spans="3:14" x14ac:dyDescent="0.25">
      <c r="F9" s="2" t="s">
        <v>7</v>
      </c>
      <c r="H9" s="2">
        <f>G7-G8</f>
        <v>14400</v>
      </c>
      <c r="L9" t="s">
        <v>19</v>
      </c>
      <c r="M9">
        <f>4600*6/12</f>
        <v>2300</v>
      </c>
    </row>
    <row r="10" spans="3:14" x14ac:dyDescent="0.25">
      <c r="F10" t="s">
        <v>6</v>
      </c>
      <c r="G10">
        <f>8500+(4400*6/12)</f>
        <v>10700</v>
      </c>
      <c r="K10" t="s">
        <v>20</v>
      </c>
      <c r="L10" t="s">
        <v>13</v>
      </c>
      <c r="M10">
        <f>M6</f>
        <v>100</v>
      </c>
    </row>
    <row r="11" spans="3:14" x14ac:dyDescent="0.25">
      <c r="F11" s="2" t="s">
        <v>9</v>
      </c>
      <c r="H11" s="2">
        <f>H9-G10</f>
        <v>3700</v>
      </c>
      <c r="L11" t="s">
        <v>21</v>
      </c>
      <c r="M11">
        <f>M9-M10</f>
        <v>2200</v>
      </c>
    </row>
    <row r="12" spans="3:14" x14ac:dyDescent="0.25">
      <c r="F12" t="s">
        <v>8</v>
      </c>
      <c r="G12">
        <f>3500-(1000*6/12)</f>
        <v>3000</v>
      </c>
      <c r="L12" t="s">
        <v>22</v>
      </c>
      <c r="M12">
        <f>M11*25/100</f>
        <v>550</v>
      </c>
    </row>
    <row r="13" spans="3:14" x14ac:dyDescent="0.25">
      <c r="F13" s="2" t="s">
        <v>10</v>
      </c>
      <c r="H13" s="2">
        <f>H11-G12</f>
        <v>700</v>
      </c>
    </row>
    <row r="14" spans="3:14" x14ac:dyDescent="0.25">
      <c r="F14" t="s">
        <v>15</v>
      </c>
    </row>
    <row r="15" spans="3:14" x14ac:dyDescent="0.25">
      <c r="F15" s="2" t="s">
        <v>16</v>
      </c>
      <c r="G15">
        <f>H13-G16</f>
        <v>150</v>
      </c>
    </row>
    <row r="16" spans="3:14" x14ac:dyDescent="0.25">
      <c r="F16" s="2" t="s">
        <v>17</v>
      </c>
      <c r="G16">
        <f>M12</f>
        <v>550</v>
      </c>
      <c r="H16" s="2">
        <f>G15+G16</f>
        <v>700</v>
      </c>
    </row>
    <row r="19" spans="5:15" x14ac:dyDescent="0.25">
      <c r="E19" t="s">
        <v>23</v>
      </c>
      <c r="F19" t="s">
        <v>24</v>
      </c>
      <c r="K19" t="s">
        <v>39</v>
      </c>
      <c r="L19" t="s">
        <v>40</v>
      </c>
    </row>
    <row r="20" spans="5:15" x14ac:dyDescent="0.25">
      <c r="G20" t="s">
        <v>11</v>
      </c>
      <c r="H20" t="s">
        <v>11</v>
      </c>
      <c r="L20" t="s">
        <v>41</v>
      </c>
    </row>
    <row r="21" spans="5:15" x14ac:dyDescent="0.25">
      <c r="F21" t="s">
        <v>25</v>
      </c>
      <c r="L21" s="3">
        <v>0.75</v>
      </c>
      <c r="M21" s="4">
        <v>45017</v>
      </c>
    </row>
    <row r="22" spans="5:15" x14ac:dyDescent="0.25">
      <c r="F22" t="s">
        <v>26</v>
      </c>
      <c r="L22" s="1"/>
    </row>
    <row r="23" spans="5:15" x14ac:dyDescent="0.25">
      <c r="F23" t="s">
        <v>27</v>
      </c>
      <c r="G23">
        <f>41000+21000+2000-M6</f>
        <v>63900</v>
      </c>
      <c r="L23" t="s">
        <v>42</v>
      </c>
    </row>
    <row r="25" spans="5:15" x14ac:dyDescent="0.25">
      <c r="F25" t="s">
        <v>28</v>
      </c>
      <c r="G25">
        <f>19000+4800-1500</f>
        <v>22300</v>
      </c>
      <c r="K25" t="s">
        <v>43</v>
      </c>
      <c r="L25" t="s">
        <v>49</v>
      </c>
    </row>
    <row r="26" spans="5:15" x14ac:dyDescent="0.25">
      <c r="F26" s="2" t="s">
        <v>29</v>
      </c>
      <c r="H26" s="2">
        <f>G23+G25</f>
        <v>86200</v>
      </c>
      <c r="M26" t="s">
        <v>45</v>
      </c>
      <c r="N26" t="s">
        <v>46</v>
      </c>
      <c r="O26" t="s">
        <v>47</v>
      </c>
    </row>
    <row r="27" spans="5:15" x14ac:dyDescent="0.25">
      <c r="L27" t="s">
        <v>48</v>
      </c>
      <c r="M27">
        <v>6000</v>
      </c>
      <c r="N27">
        <v>6000</v>
      </c>
      <c r="O27">
        <f>N27-M27</f>
        <v>0</v>
      </c>
    </row>
    <row r="28" spans="5:15" x14ac:dyDescent="0.25">
      <c r="F28" t="s">
        <v>31</v>
      </c>
      <c r="L28" t="s">
        <v>50</v>
      </c>
      <c r="M28">
        <v>12000</v>
      </c>
      <c r="N28">
        <v>12000</v>
      </c>
      <c r="O28">
        <f>N28-M28</f>
        <v>0</v>
      </c>
    </row>
    <row r="29" spans="5:15" x14ac:dyDescent="0.25">
      <c r="F29" t="s">
        <v>32</v>
      </c>
      <c r="L29" t="s">
        <v>51</v>
      </c>
      <c r="M29">
        <v>2000</v>
      </c>
      <c r="N29">
        <v>2000</v>
      </c>
      <c r="O29">
        <f>N29-M29</f>
        <v>0</v>
      </c>
    </row>
    <row r="30" spans="5:15" x14ac:dyDescent="0.25">
      <c r="F30" t="s">
        <v>33</v>
      </c>
      <c r="G30">
        <v>30000</v>
      </c>
      <c r="L30" t="s">
        <v>52</v>
      </c>
      <c r="N30">
        <f>-M6</f>
        <v>-100</v>
      </c>
      <c r="O30">
        <f>N30-M30</f>
        <v>-100</v>
      </c>
    </row>
    <row r="31" spans="5:15" x14ac:dyDescent="0.25">
      <c r="F31" t="s">
        <v>34</v>
      </c>
      <c r="G31" s="5">
        <f>M50</f>
        <v>28423.875</v>
      </c>
      <c r="L31" t="s">
        <v>44</v>
      </c>
      <c r="M31">
        <f>M27+M28+M29</f>
        <v>20000</v>
      </c>
      <c r="N31">
        <f>N27+N28+N29+N30</f>
        <v>19900</v>
      </c>
      <c r="O31">
        <f>O30</f>
        <v>-100</v>
      </c>
    </row>
    <row r="32" spans="5:15" x14ac:dyDescent="0.25">
      <c r="F32" t="s">
        <v>35</v>
      </c>
      <c r="H32" s="5">
        <f>G30+G31</f>
        <v>58423.875</v>
      </c>
    </row>
    <row r="33" spans="6:13" x14ac:dyDescent="0.25">
      <c r="F33" t="s">
        <v>62</v>
      </c>
      <c r="G33">
        <f>M39</f>
        <v>-5900</v>
      </c>
      <c r="K33" t="s">
        <v>53</v>
      </c>
      <c r="L33" t="s">
        <v>30</v>
      </c>
    </row>
    <row r="34" spans="6:13" x14ac:dyDescent="0.25">
      <c r="F34" t="s">
        <v>17</v>
      </c>
      <c r="G34">
        <f>M44</f>
        <v>3575</v>
      </c>
      <c r="L34" t="s">
        <v>54</v>
      </c>
    </row>
    <row r="35" spans="6:13" x14ac:dyDescent="0.25">
      <c r="F35" t="s">
        <v>36</v>
      </c>
      <c r="G35">
        <f>15000+7800</f>
        <v>22800</v>
      </c>
      <c r="L35" t="s">
        <v>55</v>
      </c>
      <c r="M35">
        <f>6000*1.5</f>
        <v>9000</v>
      </c>
    </row>
    <row r="36" spans="6:13" x14ac:dyDescent="0.25">
      <c r="F36" t="s">
        <v>37</v>
      </c>
      <c r="H36">
        <f>G33+G34+G35</f>
        <v>20475</v>
      </c>
      <c r="L36" t="s">
        <v>56</v>
      </c>
      <c r="M36">
        <v>1500</v>
      </c>
    </row>
    <row r="37" spans="6:13" x14ac:dyDescent="0.25">
      <c r="K37" t="s">
        <v>57</v>
      </c>
      <c r="L37" t="s">
        <v>58</v>
      </c>
      <c r="M37">
        <v>3600</v>
      </c>
    </row>
    <row r="38" spans="6:13" x14ac:dyDescent="0.25">
      <c r="F38" s="2" t="s">
        <v>38</v>
      </c>
      <c r="H38" s="6">
        <f>H32+H36</f>
        <v>78898.875</v>
      </c>
      <c r="K38" t="s">
        <v>59</v>
      </c>
      <c r="L38" t="s">
        <v>60</v>
      </c>
      <c r="M38">
        <f>M31</f>
        <v>20000</v>
      </c>
    </row>
    <row r="39" spans="6:13" x14ac:dyDescent="0.25">
      <c r="L39" t="s">
        <v>61</v>
      </c>
      <c r="M39">
        <f>M35+M36+M37-M38</f>
        <v>-5900</v>
      </c>
    </row>
    <row r="41" spans="6:13" x14ac:dyDescent="0.25">
      <c r="K41" t="s">
        <v>63</v>
      </c>
      <c r="L41" t="s">
        <v>17</v>
      </c>
    </row>
    <row r="42" spans="6:13" x14ac:dyDescent="0.25">
      <c r="L42" t="s">
        <v>58</v>
      </c>
      <c r="M42">
        <f>M37</f>
        <v>3600</v>
      </c>
    </row>
    <row r="43" spans="6:13" x14ac:dyDescent="0.25">
      <c r="K43" t="s">
        <v>64</v>
      </c>
      <c r="L43" t="s">
        <v>65</v>
      </c>
      <c r="M43">
        <f>O31*25/100</f>
        <v>-25</v>
      </c>
    </row>
    <row r="44" spans="6:13" x14ac:dyDescent="0.25">
      <c r="L44" t="s">
        <v>66</v>
      </c>
      <c r="M44">
        <f>M42+M43</f>
        <v>3575</v>
      </c>
    </row>
    <row r="46" spans="6:13" x14ac:dyDescent="0.25">
      <c r="K46" t="s">
        <v>67</v>
      </c>
      <c r="L46" t="s">
        <v>68</v>
      </c>
    </row>
    <row r="47" spans="6:13" x14ac:dyDescent="0.25">
      <c r="L47" t="s">
        <v>69</v>
      </c>
      <c r="M47">
        <v>28500</v>
      </c>
    </row>
    <row r="48" spans="6:13" x14ac:dyDescent="0.25">
      <c r="K48" t="s">
        <v>57</v>
      </c>
      <c r="L48" t="s">
        <v>70</v>
      </c>
      <c r="M48">
        <f>O31*75/100</f>
        <v>-75</v>
      </c>
    </row>
    <row r="49" spans="11:13" x14ac:dyDescent="0.25">
      <c r="K49" t="s">
        <v>59</v>
      </c>
      <c r="L49" t="s">
        <v>71</v>
      </c>
      <c r="M49">
        <f>1.5*75/100</f>
        <v>1.125</v>
      </c>
    </row>
    <row r="50" spans="11:13" x14ac:dyDescent="0.25">
      <c r="L50" t="s">
        <v>72</v>
      </c>
      <c r="M50" s="5">
        <f>M47+M48-M49</f>
        <v>28423.875</v>
      </c>
    </row>
  </sheetData>
  <mergeCells count="2">
    <mergeCell ref="E1:J1"/>
    <mergeCell ref="L21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</dc:creator>
  <cp:lastModifiedBy>offic</cp:lastModifiedBy>
  <dcterms:created xsi:type="dcterms:W3CDTF">2023-05-07T12:34:19Z</dcterms:created>
  <dcterms:modified xsi:type="dcterms:W3CDTF">2023-05-07T13:11:39Z</dcterms:modified>
</cp:coreProperties>
</file>