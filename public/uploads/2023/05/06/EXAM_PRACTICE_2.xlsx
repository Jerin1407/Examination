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ffic\Desktop\"/>
    </mc:Choice>
  </mc:AlternateContent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37" i="1"/>
  <c r="H36" i="1"/>
  <c r="H35" i="1"/>
  <c r="H31" i="1"/>
  <c r="H29" i="1"/>
  <c r="H28" i="1"/>
  <c r="S30" i="1"/>
  <c r="R30" i="1"/>
  <c r="Q30" i="1"/>
  <c r="S28" i="1"/>
  <c r="S29" i="1"/>
  <c r="R29" i="1"/>
  <c r="S27" i="1"/>
  <c r="S26" i="1"/>
  <c r="R26" i="1"/>
  <c r="H26" i="1"/>
  <c r="Q26" i="1"/>
  <c r="S25" i="1"/>
  <c r="H25" i="1"/>
  <c r="Q12" i="1"/>
  <c r="Q14" i="1"/>
  <c r="J19" i="1" s="1"/>
  <c r="J18" i="1" s="1"/>
  <c r="Q13" i="1"/>
  <c r="Q11" i="1"/>
  <c r="J16" i="1"/>
  <c r="I15" i="1"/>
  <c r="J14" i="1"/>
  <c r="I13" i="1"/>
  <c r="I12" i="1"/>
  <c r="I10" i="1"/>
  <c r="J11" i="1"/>
  <c r="Q7" i="1"/>
  <c r="I9" i="1"/>
</calcChain>
</file>

<file path=xl/sharedStrings.xml><?xml version="1.0" encoding="utf-8"?>
<sst xmlns="http://schemas.openxmlformats.org/spreadsheetml/2006/main" count="64" uniqueCount="54">
  <si>
    <t>EXAM PRACTICE 2</t>
  </si>
  <si>
    <t>32) a)</t>
  </si>
  <si>
    <t>PEDANTIC</t>
  </si>
  <si>
    <t>CONSOLIDATED STATEMENT OF PROFIT OR LOSS FOR THE YEAR ENDED 30SEP</t>
  </si>
  <si>
    <t>cos</t>
  </si>
  <si>
    <t>administration cost</t>
  </si>
  <si>
    <t>profit before tax</t>
  </si>
  <si>
    <t>income tax exp</t>
  </si>
  <si>
    <t>profit for the year</t>
  </si>
  <si>
    <t>revenue</t>
  </si>
  <si>
    <t>g/p</t>
  </si>
  <si>
    <t>distribution cost</t>
  </si>
  <si>
    <t>$000</t>
  </si>
  <si>
    <t>wn 1</t>
  </si>
  <si>
    <t>dprn</t>
  </si>
  <si>
    <t>adjustments</t>
  </si>
  <si>
    <t>wn 2</t>
  </si>
  <si>
    <t xml:space="preserve">profit attributable to </t>
  </si>
  <si>
    <t>Parent</t>
  </si>
  <si>
    <t>NCI</t>
  </si>
  <si>
    <t>PROFIT ATTRIBUTABLE TO NCI</t>
  </si>
  <si>
    <t>less</t>
  </si>
  <si>
    <t>impairment</t>
  </si>
  <si>
    <t>subsibiary profit</t>
  </si>
  <si>
    <t xml:space="preserve"> fv dprn</t>
  </si>
  <si>
    <t>adjusted profit</t>
  </si>
  <si>
    <t>NCI share</t>
  </si>
  <si>
    <t>b)</t>
  </si>
  <si>
    <t>i)</t>
  </si>
  <si>
    <t>GOODWILL</t>
  </si>
  <si>
    <t>consideration paid</t>
  </si>
  <si>
    <t>add</t>
  </si>
  <si>
    <t>NCI at acq</t>
  </si>
  <si>
    <t>Net asset at acq</t>
  </si>
  <si>
    <t>Goodwwill on acq</t>
  </si>
  <si>
    <t>Impairment</t>
  </si>
  <si>
    <t>Goodwill on rep date</t>
  </si>
  <si>
    <t>share exchange</t>
  </si>
  <si>
    <t>share premium</t>
  </si>
  <si>
    <t xml:space="preserve">wn </t>
  </si>
  <si>
    <t>NET ASSETS OF SUBSIDIARY</t>
  </si>
  <si>
    <t>At acq</t>
  </si>
  <si>
    <t>At rep</t>
  </si>
  <si>
    <t>Post-acq</t>
  </si>
  <si>
    <t>share capital</t>
  </si>
  <si>
    <t>retained earnings</t>
  </si>
  <si>
    <t>fv</t>
  </si>
  <si>
    <t>fv dprn</t>
  </si>
  <si>
    <t xml:space="preserve">NET ASSETS </t>
  </si>
  <si>
    <t>ii)</t>
  </si>
  <si>
    <t>NON CONTROLLING INTEREST(NCI)</t>
  </si>
  <si>
    <t>NCI share of post acq profit</t>
  </si>
  <si>
    <t xml:space="preserve">less </t>
  </si>
  <si>
    <t>NCI share of impairment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</si>
</sst>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0" xfId="1" applyNumberFormat="1" applyFont="1"/>
    <xf numFmtId="1" fontId="0" fillId="0" borderId="0" xfId="0" applyNumberFormat="1"/>
    <xf numFmtId="1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S38"/>
  <sheetViews>
    <sheetView tabSelected="1" topLeftCell="B19" workbookViewId="0">
      <selection activeCell="M39" sqref="M39"/>
    </sheetView>
  </sheetViews>
  <sheetFormatPr defaultRowHeight="15" x14ac:dyDescent="0.25"/>
  <cols>
    <col min="7" max="7" width="23" customWidth="1"/>
    <col min="8" max="8" width="9.5703125" bestFit="1" customWidth="1"/>
    <col min="16" max="16" width="15.85546875" customWidth="1"/>
  </cols>
  <sheetData>
    <row r="1" spans="3:18" ht="18.75" x14ac:dyDescent="0.3">
      <c r="F1" s="3"/>
      <c r="G1" s="4" t="s">
        <v>0</v>
      </c>
      <c r="H1" s="4"/>
    </row>
    <row r="5" spans="3:18" ht="18.75" x14ac:dyDescent="0.3">
      <c r="C5" t="s">
        <v>1</v>
      </c>
      <c r="D5" s="3" t="s">
        <v>2</v>
      </c>
      <c r="G5" s="3"/>
      <c r="O5" t="s">
        <v>15</v>
      </c>
    </row>
    <row r="7" spans="3:18" x14ac:dyDescent="0.25">
      <c r="F7" s="5" t="s">
        <v>3</v>
      </c>
      <c r="G7" s="5"/>
      <c r="H7" s="5"/>
      <c r="I7" s="5"/>
      <c r="J7" s="5"/>
      <c r="K7" s="5"/>
      <c r="L7" s="5"/>
      <c r="M7" s="5"/>
      <c r="O7" t="s">
        <v>13</v>
      </c>
      <c r="P7" t="s">
        <v>14</v>
      </c>
      <c r="Q7">
        <f>2000/5</f>
        <v>400</v>
      </c>
      <c r="R7" t="s">
        <v>4</v>
      </c>
    </row>
    <row r="8" spans="3:18" x14ac:dyDescent="0.25">
      <c r="I8" t="s">
        <v>12</v>
      </c>
      <c r="J8" t="s">
        <v>12</v>
      </c>
    </row>
    <row r="9" spans="3:18" x14ac:dyDescent="0.25">
      <c r="G9" t="s">
        <v>9</v>
      </c>
      <c r="I9">
        <f>85000+(42000*6/12)-8000</f>
        <v>98000</v>
      </c>
      <c r="O9" t="s">
        <v>16</v>
      </c>
      <c r="P9" t="s">
        <v>20</v>
      </c>
    </row>
    <row r="10" spans="3:18" x14ac:dyDescent="0.25">
      <c r="G10" s="2" t="s">
        <v>4</v>
      </c>
      <c r="I10">
        <f>63000+(32000*6/12)-Q7-8000+5200</f>
        <v>75800</v>
      </c>
      <c r="P10" t="s">
        <v>23</v>
      </c>
      <c r="Q10">
        <v>3000</v>
      </c>
    </row>
    <row r="11" spans="3:18" x14ac:dyDescent="0.25">
      <c r="G11" s="6" t="s">
        <v>10</v>
      </c>
      <c r="J11" s="6">
        <f>I9-I10</f>
        <v>22200</v>
      </c>
      <c r="O11" t="s">
        <v>21</v>
      </c>
      <c r="P11" t="s">
        <v>24</v>
      </c>
      <c r="Q11" s="8">
        <f>Q7</f>
        <v>400</v>
      </c>
    </row>
    <row r="12" spans="3:18" x14ac:dyDescent="0.25">
      <c r="G12" t="s">
        <v>11</v>
      </c>
      <c r="I12">
        <f>3100+(3600*6/12)</f>
        <v>4900</v>
      </c>
      <c r="P12" t="s">
        <v>22</v>
      </c>
      <c r="Q12">
        <f>1000*40/100</f>
        <v>400</v>
      </c>
    </row>
    <row r="13" spans="3:18" x14ac:dyDescent="0.25">
      <c r="G13" t="s">
        <v>5</v>
      </c>
      <c r="I13">
        <f>5200+(2000*6/12)</f>
        <v>6200</v>
      </c>
      <c r="P13" t="s">
        <v>25</v>
      </c>
      <c r="Q13">
        <f>Q10+Q11+Q12</f>
        <v>3800</v>
      </c>
    </row>
    <row r="14" spans="3:18" x14ac:dyDescent="0.25">
      <c r="G14" s="6" t="s">
        <v>6</v>
      </c>
      <c r="J14" s="6">
        <f>J11-I12-I13</f>
        <v>11100</v>
      </c>
      <c r="P14" t="s">
        <v>26</v>
      </c>
      <c r="Q14">
        <f>Q13*40/100</f>
        <v>1520</v>
      </c>
    </row>
    <row r="15" spans="3:18" x14ac:dyDescent="0.25">
      <c r="G15" t="s">
        <v>7</v>
      </c>
      <c r="I15">
        <f>4700+(1400*6/12)</f>
        <v>5400</v>
      </c>
    </row>
    <row r="16" spans="3:18" x14ac:dyDescent="0.25">
      <c r="G16" s="6" t="s">
        <v>8</v>
      </c>
      <c r="J16" s="6">
        <f>J14-I15</f>
        <v>5700</v>
      </c>
    </row>
    <row r="17" spans="3:19" x14ac:dyDescent="0.25">
      <c r="G17" t="s">
        <v>17</v>
      </c>
    </row>
    <row r="18" spans="3:19" x14ac:dyDescent="0.25">
      <c r="G18" s="7" t="s">
        <v>18</v>
      </c>
      <c r="J18" s="6">
        <f>J16-J19</f>
        <v>4180</v>
      </c>
    </row>
    <row r="19" spans="3:19" x14ac:dyDescent="0.25">
      <c r="G19" s="1" t="s">
        <v>19</v>
      </c>
      <c r="J19" s="6">
        <f>Q14</f>
        <v>1520</v>
      </c>
    </row>
    <row r="23" spans="3:19" x14ac:dyDescent="0.25">
      <c r="C23" t="s">
        <v>27</v>
      </c>
      <c r="F23" t="s">
        <v>28</v>
      </c>
      <c r="G23" s="5" t="s">
        <v>29</v>
      </c>
      <c r="H23" t="s">
        <v>12</v>
      </c>
      <c r="O23" t="s">
        <v>39</v>
      </c>
      <c r="P23" t="s">
        <v>40</v>
      </c>
    </row>
    <row r="24" spans="3:19" x14ac:dyDescent="0.25">
      <c r="G24" t="s">
        <v>30</v>
      </c>
      <c r="Q24" t="s">
        <v>41</v>
      </c>
      <c r="R24" t="s">
        <v>42</v>
      </c>
      <c r="S24" t="s">
        <v>43</v>
      </c>
    </row>
    <row r="25" spans="3:19" x14ac:dyDescent="0.25">
      <c r="G25" t="s">
        <v>37</v>
      </c>
      <c r="H25">
        <f>4000*2/3*6</f>
        <v>16000</v>
      </c>
      <c r="P25" t="s">
        <v>44</v>
      </c>
      <c r="Q25">
        <v>4000</v>
      </c>
      <c r="R25">
        <v>4000</v>
      </c>
      <c r="S25">
        <f>R25-Q25</f>
        <v>0</v>
      </c>
    </row>
    <row r="26" spans="3:19" x14ac:dyDescent="0.25">
      <c r="G26" t="s">
        <v>38</v>
      </c>
      <c r="H26" s="9">
        <f>4000*2/3*(6-1)</f>
        <v>13333.333333333332</v>
      </c>
      <c r="P26" t="s">
        <v>38</v>
      </c>
      <c r="Q26">
        <f>4000*5</f>
        <v>20000</v>
      </c>
      <c r="R26">
        <f>Q26</f>
        <v>20000</v>
      </c>
      <c r="S26">
        <f>R26-Q26</f>
        <v>0</v>
      </c>
    </row>
    <row r="27" spans="3:19" x14ac:dyDescent="0.25">
      <c r="F27" t="s">
        <v>31</v>
      </c>
      <c r="G27" t="s">
        <v>32</v>
      </c>
      <c r="H27">
        <v>5900</v>
      </c>
      <c r="P27" t="s">
        <v>45</v>
      </c>
      <c r="Q27">
        <v>3000</v>
      </c>
      <c r="R27">
        <v>6500</v>
      </c>
      <c r="S27">
        <f>R27-Q27</f>
        <v>3500</v>
      </c>
    </row>
    <row r="28" spans="3:19" x14ac:dyDescent="0.25">
      <c r="F28" t="s">
        <v>21</v>
      </c>
      <c r="G28" t="s">
        <v>33</v>
      </c>
      <c r="H28">
        <f>Q30</f>
        <v>29000</v>
      </c>
      <c r="P28" t="s">
        <v>46</v>
      </c>
      <c r="Q28">
        <v>2000</v>
      </c>
      <c r="R28">
        <v>2000</v>
      </c>
      <c r="S28">
        <f t="shared" ref="S28:S29" si="0">R28-Q28</f>
        <v>0</v>
      </c>
    </row>
    <row r="29" spans="3:19" x14ac:dyDescent="0.25">
      <c r="G29" t="s">
        <v>34</v>
      </c>
      <c r="H29" s="9">
        <f>H25+H26+H27-H28</f>
        <v>6233.3333333333285</v>
      </c>
      <c r="O29" t="s">
        <v>21</v>
      </c>
      <c r="P29" t="s">
        <v>47</v>
      </c>
      <c r="R29">
        <f>Q7</f>
        <v>400</v>
      </c>
      <c r="S29">
        <f t="shared" si="0"/>
        <v>400</v>
      </c>
    </row>
    <row r="30" spans="3:19" x14ac:dyDescent="0.25">
      <c r="F30" t="s">
        <v>21</v>
      </c>
      <c r="G30" t="s">
        <v>35</v>
      </c>
      <c r="H30">
        <v>1000</v>
      </c>
      <c r="P30" s="6" t="s">
        <v>48</v>
      </c>
      <c r="Q30" s="6">
        <f>Q25+Q26+Q27+Q28</f>
        <v>29000</v>
      </c>
      <c r="R30" s="6">
        <f>R25+R26+R27+R28-R29</f>
        <v>32100</v>
      </c>
      <c r="S30" s="6">
        <f>S25+S26+S27+S28-S29</f>
        <v>3100</v>
      </c>
    </row>
    <row r="31" spans="3:19" x14ac:dyDescent="0.25">
      <c r="G31" s="6" t="s">
        <v>36</v>
      </c>
      <c r="H31" s="10">
        <f>H29-H30</f>
        <v>5233.3333333333285</v>
      </c>
    </row>
    <row r="34" spans="6:8" x14ac:dyDescent="0.25">
      <c r="F34" t="s">
        <v>49</v>
      </c>
      <c r="G34" s="5" t="s">
        <v>50</v>
      </c>
      <c r="H34" s="5"/>
    </row>
    <row r="35" spans="6:8" x14ac:dyDescent="0.25">
      <c r="G35" t="s">
        <v>32</v>
      </c>
      <c r="H35">
        <f>H27</f>
        <v>5900</v>
      </c>
    </row>
    <row r="36" spans="6:8" x14ac:dyDescent="0.25">
      <c r="F36" t="s">
        <v>31</v>
      </c>
      <c r="G36" t="s">
        <v>51</v>
      </c>
      <c r="H36">
        <f>S30*40/100</f>
        <v>1240</v>
      </c>
    </row>
    <row r="37" spans="6:8" x14ac:dyDescent="0.25">
      <c r="F37" t="s">
        <v>52</v>
      </c>
      <c r="G37" t="s">
        <v>53</v>
      </c>
      <c r="H37">
        <f>1000*40/100</f>
        <v>400</v>
      </c>
    </row>
    <row r="38" spans="6:8" x14ac:dyDescent="0.25">
      <c r="G38" s="6" t="s">
        <v>19</v>
      </c>
      <c r="H38" s="6">
        <f>H35+H36-H37</f>
        <v>6740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</dc:creator>
  <cp:lastModifiedBy>offic</cp:lastModifiedBy>
  <dcterms:created xsi:type="dcterms:W3CDTF">2023-05-06T04:48:47Z</dcterms:created>
  <dcterms:modified xsi:type="dcterms:W3CDTF">2023-05-06T05:33:22Z</dcterms:modified>
</cp:coreProperties>
</file>